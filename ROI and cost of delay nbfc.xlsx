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nakagarwal/Desktop/"/>
    </mc:Choice>
  </mc:AlternateContent>
  <xr:revisionPtr revIDLastSave="0" documentId="13_ncr:1_{6E0F2543-1FFB-8D4E-B712-536237F21046}" xr6:coauthVersionLast="47" xr6:coauthVersionMax="47" xr10:uidLastSave="{00000000-0000-0000-0000-000000000000}"/>
  <bookViews>
    <workbookView xWindow="0" yWindow="500" windowWidth="27700" windowHeight="17500" xr2:uid="{00000000-000D-0000-FFFF-FFFF00000000}"/>
  </bookViews>
  <sheets>
    <sheet name="Inputs" sheetId="1" r:id="rId1"/>
    <sheet name="Cost_of_Delay" sheetId="2" r:id="rId2"/>
    <sheet name="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7" i="1" l="1"/>
  <c r="B44" i="1"/>
  <c r="B27" i="3"/>
  <c r="B28" i="3" s="1"/>
  <c r="B3" i="2"/>
  <c r="B4" i="2" s="1"/>
  <c r="B39" i="2"/>
  <c r="B47" i="2"/>
  <c r="B46" i="2"/>
  <c r="B36" i="2"/>
  <c r="B38" i="2" s="1"/>
  <c r="B30" i="2"/>
  <c r="B29" i="2"/>
  <c r="B21" i="2"/>
  <c r="B24" i="2"/>
  <c r="B23" i="2"/>
  <c r="B22" i="2"/>
  <c r="B15" i="2"/>
  <c r="B14" i="2"/>
  <c r="B13" i="2"/>
  <c r="B7" i="2"/>
  <c r="B8" i="2" s="1"/>
  <c r="B2" i="3"/>
  <c r="B3" i="3"/>
  <c r="B6" i="1"/>
  <c r="B31" i="3"/>
  <c r="B34" i="3" s="1"/>
  <c r="B5" i="1"/>
  <c r="B49" i="1"/>
  <c r="B9" i="2" l="1"/>
  <c r="B16" i="2"/>
  <c r="B17" i="2" s="1"/>
  <c r="B18" i="2" s="1"/>
  <c r="B4" i="3"/>
  <c r="B12" i="3" s="1"/>
  <c r="B40" i="2"/>
  <c r="B41" i="2" s="1"/>
  <c r="B48" i="2"/>
  <c r="B49" i="2" s="1"/>
  <c r="B31" i="2"/>
  <c r="B32" i="2" s="1"/>
  <c r="B33" i="2" s="1"/>
  <c r="B25" i="2"/>
  <c r="B21" i="3"/>
  <c r="B22" i="3" s="1"/>
  <c r="B23" i="3" s="1"/>
  <c r="C31" i="3"/>
  <c r="C34" i="3" s="1"/>
  <c r="B35" i="3" l="1"/>
  <c r="B14" i="3"/>
  <c r="B8" i="3"/>
  <c r="B5" i="3"/>
  <c r="B6" i="3" s="1"/>
  <c r="B10" i="2"/>
  <c r="B42" i="2"/>
  <c r="B43" i="2" s="1"/>
  <c r="B53" i="2" s="1"/>
  <c r="B24" i="3"/>
  <c r="B32" i="3"/>
  <c r="C32" i="3" s="1"/>
  <c r="B33" i="3" l="1"/>
  <c r="C33" i="3" s="1"/>
  <c r="B13" i="3"/>
  <c r="B7" i="3"/>
  <c r="B9" i="3" s="1"/>
  <c r="B10" i="3" s="1"/>
  <c r="B56" i="2"/>
  <c r="B55" i="2"/>
  <c r="B54" i="2"/>
  <c r="B15" i="3" l="1"/>
  <c r="C36" i="3" s="1"/>
  <c r="B36" i="3"/>
  <c r="C35" i="3"/>
  <c r="C38" i="3" l="1"/>
  <c r="C39" i="3" s="1"/>
  <c r="C42" i="3" s="1"/>
  <c r="B16" i="3"/>
  <c r="C41" i="3" l="1"/>
  <c r="B17" i="3"/>
  <c r="B45" i="3" s="1"/>
  <c r="B46" i="3" l="1"/>
  <c r="B47" i="3" s="1"/>
  <c r="B48" i="3"/>
</calcChain>
</file>

<file path=xl/sharedStrings.xml><?xml version="1.0" encoding="utf-8"?>
<sst xmlns="http://schemas.openxmlformats.org/spreadsheetml/2006/main" count="130" uniqueCount="120">
  <si>
    <t>Monthly Sales</t>
  </si>
  <si>
    <t>Profit Margin (%)</t>
  </si>
  <si>
    <t>Season Uplift (%)</t>
  </si>
  <si>
    <t>Loan Amount</t>
  </si>
  <si>
    <t>EMI (Monthly)</t>
  </si>
  <si>
    <t>Cash Cycle Delay (days)</t>
  </si>
  <si>
    <t>Metric</t>
  </si>
  <si>
    <t>Value</t>
  </si>
  <si>
    <t>Lost Profit Per Month</t>
  </si>
  <si>
    <t>Total Monthly Cost of Delay</t>
  </si>
  <si>
    <t>Annual ROI</t>
  </si>
  <si>
    <t>Payback Period (Months)</t>
  </si>
  <si>
    <t xml:space="preserve">Number of months for season </t>
  </si>
  <si>
    <t>Total sales in season (per month)</t>
  </si>
  <si>
    <t>Expected Normal Profit Increase per year</t>
  </si>
  <si>
    <t>Expected season Profit Increase per year</t>
  </si>
  <si>
    <t xml:space="preserve">Total Profit increase for 12 months </t>
  </si>
  <si>
    <t xml:space="preserve">Stock purchase from loan </t>
  </si>
  <si>
    <t>Purchase from loan</t>
  </si>
  <si>
    <t>Bulk discount (Stock turnover per month)</t>
  </si>
  <si>
    <t>Bulk discount (Stock turnover per year)</t>
  </si>
  <si>
    <t>Cash cycle improvement</t>
  </si>
  <si>
    <t xml:space="preserve">Per month old sale </t>
  </si>
  <si>
    <t xml:space="preserve">per month New sale </t>
  </si>
  <si>
    <t>monthly</t>
  </si>
  <si>
    <t>yearly</t>
  </si>
  <si>
    <t>old profits</t>
  </si>
  <si>
    <t>cash cycle improvement (5)%</t>
  </si>
  <si>
    <t>cash cycle improvement (10)%</t>
  </si>
  <si>
    <t>Total Profit increase for 12 months (old+new)</t>
  </si>
  <si>
    <t>Average total profit increase for 12 months  monthly (Old + New)</t>
  </si>
  <si>
    <t xml:space="preserve">Monthly stock purchase </t>
  </si>
  <si>
    <t>Daily walk in</t>
  </si>
  <si>
    <t xml:space="preserve">Average bill value </t>
  </si>
  <si>
    <t>For how many days you give credit</t>
  </si>
  <si>
    <t>total udhari/ outstanding amount (receivable)</t>
  </si>
  <si>
    <t xml:space="preserve">Is udhari Stable or increasing </t>
  </si>
  <si>
    <t xml:space="preserve">Supplier discount </t>
  </si>
  <si>
    <t>Competitor Loss</t>
  </si>
  <si>
    <t>Lost Sales Per Month due to competition</t>
  </si>
  <si>
    <t>Seasonal loss</t>
  </si>
  <si>
    <t xml:space="preserve">Monthly sales </t>
  </si>
  <si>
    <t>Season uplift</t>
  </si>
  <si>
    <t xml:space="preserve">Number of months of season </t>
  </si>
  <si>
    <t>Sales loss in season</t>
  </si>
  <si>
    <t xml:space="preserve">Loss profit in season </t>
  </si>
  <si>
    <t xml:space="preserve">Fixed expense increase cost </t>
  </si>
  <si>
    <t xml:space="preserve">Rent </t>
  </si>
  <si>
    <t>Electricity</t>
  </si>
  <si>
    <t xml:space="preserve">Salaries </t>
  </si>
  <si>
    <t xml:space="preserve">Total expense increase per month by next year </t>
  </si>
  <si>
    <t xml:space="preserve">Inflation </t>
  </si>
  <si>
    <t xml:space="preserve">Inflation increasing every year </t>
  </si>
  <si>
    <t>Sales per month</t>
  </si>
  <si>
    <t xml:space="preserve">Net profit Margin </t>
  </si>
  <si>
    <t xml:space="preserve">Profit per month today </t>
  </si>
  <si>
    <t xml:space="preserve">After Adjusting Inflation </t>
  </si>
  <si>
    <t>Net loss after adjusting Inflation per month</t>
  </si>
  <si>
    <t>Credit outstanding loss</t>
  </si>
  <si>
    <t xml:space="preserve">Ideadl udhari days </t>
  </si>
  <si>
    <t xml:space="preserve">Ideal udhari amount </t>
  </si>
  <si>
    <t xml:space="preserve">Actual udhari amount </t>
  </si>
  <si>
    <t>yes/no</t>
  </si>
  <si>
    <t xml:space="preserve">Excess udhari </t>
  </si>
  <si>
    <t>business loss due to udhari</t>
  </si>
  <si>
    <t>Interest loss due to udhari</t>
  </si>
  <si>
    <t>Total loss due to udhari</t>
  </si>
  <si>
    <t xml:space="preserve">Supplier increasing stock price </t>
  </si>
  <si>
    <t>Is price increased from last year</t>
  </si>
  <si>
    <t xml:space="preserve">How much price increased yearly </t>
  </si>
  <si>
    <t xml:space="preserve">Monthly stock purchase price increase </t>
  </si>
  <si>
    <t xml:space="preserve">Is price increased from last year if yes then how much (%)/ kya maal mahenga aa raha hai </t>
  </si>
  <si>
    <t>Average per month season loss</t>
  </si>
  <si>
    <t>Total 3 Month Cost of Delay</t>
  </si>
  <si>
    <t>Total 6 Month Cost of Delay</t>
  </si>
  <si>
    <t>Total 12 Month Cost of Delay</t>
  </si>
  <si>
    <t>Monthly stock Purchase</t>
  </si>
  <si>
    <t>Expected increase every year (%)</t>
  </si>
  <si>
    <t>A) Bulk discount (%)</t>
  </si>
  <si>
    <t>B) Scheme Discount (%)</t>
  </si>
  <si>
    <t>C) Cash Discount (%)</t>
  </si>
  <si>
    <t>Discount received from Supplier</t>
  </si>
  <si>
    <t xml:space="preserve">Stock question </t>
  </si>
  <si>
    <t>Sales question</t>
  </si>
  <si>
    <t xml:space="preserve">Competition Question </t>
  </si>
  <si>
    <t xml:space="preserve">Credit/ outstanding Question </t>
  </si>
  <si>
    <t xml:space="preserve">Fixed Expenses Questions </t>
  </si>
  <si>
    <t>Inflation Questions</t>
  </si>
  <si>
    <t>Loan Questions</t>
  </si>
  <si>
    <t xml:space="preserve">Electricity </t>
  </si>
  <si>
    <t xml:space="preserve">Tenure in years </t>
  </si>
  <si>
    <t xml:space="preserve">Total Bulk discount </t>
  </si>
  <si>
    <t>Stock Rotation Cycle Length (in months)</t>
  </si>
  <si>
    <t>Stock Rotation Cycle Length (in days)</t>
  </si>
  <si>
    <t>Stock Rotation Cycle Length (in Years)</t>
  </si>
  <si>
    <t>Expected Normal Sales Increase with loan</t>
  </si>
  <si>
    <t>Expected increase in prices by next year(%)</t>
  </si>
  <si>
    <t>Expected Season Sales Increase with loan</t>
  </si>
  <si>
    <t xml:space="preserve">Season months per year </t>
  </si>
  <si>
    <t xml:space="preserve">Normal months without season </t>
  </si>
  <si>
    <t>Total sales in all season months with loan</t>
  </si>
  <si>
    <t>Total sale for normal months without season with loan</t>
  </si>
  <si>
    <t>combined yearly sale (season and normal months)</t>
  </si>
  <si>
    <t xml:space="preserve">Average combined monthly sale </t>
  </si>
  <si>
    <t>Total increase in sales in each season months with loan</t>
  </si>
  <si>
    <t>Expected profit Increase of each month of season</t>
  </si>
  <si>
    <t xml:space="preserve">Expected profit Increase of each normal month </t>
  </si>
  <si>
    <t xml:space="preserve">Total discount </t>
  </si>
  <si>
    <t>Total discount (Stock turnover per month)</t>
  </si>
  <si>
    <t>Total discount (Stock turnover per year)</t>
  </si>
  <si>
    <t xml:space="preserve">Expected season months Profit Increase </t>
  </si>
  <si>
    <t xml:space="preserve">Expected Norma month Profit Increase </t>
  </si>
  <si>
    <t>Every year inflation increase</t>
  </si>
  <si>
    <t xml:space="preserve">Tenure in months </t>
  </si>
  <si>
    <t>IRR (%)</t>
  </si>
  <si>
    <t xml:space="preserve">Average profit increase per months </t>
  </si>
  <si>
    <t>Total profit per month</t>
  </si>
  <si>
    <t xml:space="preserve">Total Repayment </t>
  </si>
  <si>
    <t>Total profit for year</t>
  </si>
  <si>
    <t xml:space="preserve">Customer left or go to competitor due to low stock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</si>
</sst>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4" formatCode="#,##0.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0" borderId="0" xfId="0" applyAlignment="1">
      <alignment wrapText="1"/>
    </xf>
    <xf numFmtId="2" fontId="0" fillId="5" borderId="0" xfId="0" applyNumberFormat="1" applyFill="1"/>
    <xf numFmtId="0" fontId="0" fillId="5" borderId="0" xfId="0" applyFill="1"/>
    <xf numFmtId="0" fontId="0" fillId="2" borderId="1" xfId="0" applyFill="1" applyBorder="1"/>
    <xf numFmtId="0" fontId="0" fillId="0" borderId="1" xfId="0" applyBorder="1"/>
    <xf numFmtId="9" fontId="0" fillId="0" borderId="0" xfId="0" applyNumberFormat="1"/>
    <xf numFmtId="0" fontId="1" fillId="0" borderId="0" xfId="0" applyFont="1"/>
    <xf numFmtId="2" fontId="0" fillId="2" borderId="0" xfId="0" applyNumberFormat="1" applyFill="1"/>
    <xf numFmtId="0" fontId="0" fillId="6" borderId="0" xfId="0" applyFill="1"/>
    <xf numFmtId="0" fontId="0" fillId="0" borderId="1" xfId="0" applyBorder="1" applyAlignment="1">
      <alignment wrapText="1"/>
    </xf>
    <xf numFmtId="0" fontId="0" fillId="7" borderId="0" xfId="0" applyFill="1"/>
    <xf numFmtId="9" fontId="0" fillId="7" borderId="0" xfId="0" applyNumberFormat="1" applyFill="1"/>
    <xf numFmtId="0" fontId="0" fillId="8" borderId="0" xfId="0" applyFill="1"/>
    <xf numFmtId="0" fontId="2" fillId="9" borderId="0" xfId="0" applyFont="1" applyFill="1"/>
    <xf numFmtId="0" fontId="2" fillId="0" borderId="0" xfId="0" applyFont="1"/>
    <xf numFmtId="0" fontId="2" fillId="10" borderId="0" xfId="0" applyFont="1" applyFill="1"/>
    <xf numFmtId="8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5" workbookViewId="0">
      <selection activeCell="G30" sqref="G30"/>
    </sheetView>
  </sheetViews>
  <sheetFormatPr baseColWidth="10" defaultColWidth="8.83203125" defaultRowHeight="15" x14ac:dyDescent="0.2"/>
  <cols>
    <col min="1" max="1" width="31.83203125" bestFit="1" customWidth="1"/>
    <col min="5" max="5" width="12" bestFit="1" customWidth="1"/>
  </cols>
  <sheetData>
    <row r="1" spans="1:2" x14ac:dyDescent="0.2">
      <c r="A1" s="13" t="s">
        <v>82</v>
      </c>
    </row>
    <row r="2" spans="1:2" x14ac:dyDescent="0.2">
      <c r="A2" t="s">
        <v>31</v>
      </c>
      <c r="B2">
        <v>300000</v>
      </c>
    </row>
    <row r="4" spans="1:2" x14ac:dyDescent="0.2">
      <c r="A4" t="s">
        <v>93</v>
      </c>
      <c r="B4">
        <v>45</v>
      </c>
    </row>
    <row r="5" spans="1:2" x14ac:dyDescent="0.2">
      <c r="A5" t="s">
        <v>92</v>
      </c>
      <c r="B5">
        <f>B4/30</f>
        <v>1.5</v>
      </c>
    </row>
    <row r="6" spans="1:2" x14ac:dyDescent="0.2">
      <c r="A6" t="s">
        <v>94</v>
      </c>
      <c r="B6">
        <f>365/B4</f>
        <v>8.1111111111111107</v>
      </c>
    </row>
    <row r="8" spans="1:2" x14ac:dyDescent="0.2">
      <c r="A8" s="13" t="s">
        <v>81</v>
      </c>
    </row>
    <row r="9" spans="1:2" x14ac:dyDescent="0.2">
      <c r="A9" s="24" t="s">
        <v>78</v>
      </c>
      <c r="B9">
        <v>5</v>
      </c>
    </row>
    <row r="10" spans="1:2" x14ac:dyDescent="0.2">
      <c r="A10" s="24" t="s">
        <v>79</v>
      </c>
      <c r="B10">
        <v>3</v>
      </c>
    </row>
    <row r="11" spans="1:2" x14ac:dyDescent="0.2">
      <c r="A11" s="24" t="s">
        <v>80</v>
      </c>
      <c r="B11">
        <v>2</v>
      </c>
    </row>
    <row r="12" spans="1:2" ht="48" x14ac:dyDescent="0.2">
      <c r="A12" s="5" t="s">
        <v>71</v>
      </c>
      <c r="B12">
        <v>5</v>
      </c>
    </row>
    <row r="13" spans="1:2" x14ac:dyDescent="0.2">
      <c r="A13" s="5"/>
    </row>
    <row r="15" spans="1:2" x14ac:dyDescent="0.2">
      <c r="A15" s="13" t="s">
        <v>83</v>
      </c>
    </row>
    <row r="16" spans="1:2" x14ac:dyDescent="0.2">
      <c r="A16" t="s">
        <v>0</v>
      </c>
      <c r="B16">
        <v>100000</v>
      </c>
    </row>
    <row r="17" spans="1:5" x14ac:dyDescent="0.2">
      <c r="A17" t="s">
        <v>1</v>
      </c>
      <c r="B17">
        <v>20</v>
      </c>
    </row>
    <row r="18" spans="1:5" x14ac:dyDescent="0.2">
      <c r="A18" s="9" t="s">
        <v>2</v>
      </c>
      <c r="B18">
        <v>20</v>
      </c>
    </row>
    <row r="19" spans="1:5" x14ac:dyDescent="0.2">
      <c r="A19" s="9" t="s">
        <v>12</v>
      </c>
      <c r="B19">
        <v>3</v>
      </c>
    </row>
    <row r="22" spans="1:5" x14ac:dyDescent="0.2">
      <c r="A22" s="13" t="s">
        <v>84</v>
      </c>
    </row>
    <row r="23" spans="1:5" x14ac:dyDescent="0.2">
      <c r="A23" s="9" t="s">
        <v>32</v>
      </c>
      <c r="B23">
        <v>20</v>
      </c>
    </row>
    <row r="24" spans="1:5" x14ac:dyDescent="0.2">
      <c r="A24" s="9" t="s">
        <v>33</v>
      </c>
      <c r="B24">
        <v>2000</v>
      </c>
      <c r="E24" s="11"/>
    </row>
    <row r="25" spans="1:5" ht="32" customHeight="1" x14ac:dyDescent="0.2">
      <c r="A25" s="14" t="s">
        <v>119</v>
      </c>
      <c r="B25">
        <v>10</v>
      </c>
    </row>
    <row r="26" spans="1:5" x14ac:dyDescent="0.2">
      <c r="A26" s="5"/>
    </row>
    <row r="27" spans="1:5" x14ac:dyDescent="0.2">
      <c r="A27" s="13" t="s">
        <v>85</v>
      </c>
    </row>
    <row r="28" spans="1:5" x14ac:dyDescent="0.2">
      <c r="A28" s="9" t="s">
        <v>34</v>
      </c>
      <c r="B28">
        <v>20</v>
      </c>
    </row>
    <row r="29" spans="1:5" ht="32" x14ac:dyDescent="0.2">
      <c r="A29" s="14" t="s">
        <v>35</v>
      </c>
      <c r="B29">
        <v>50000</v>
      </c>
    </row>
    <row r="30" spans="1:5" x14ac:dyDescent="0.2">
      <c r="A30" s="9" t="s">
        <v>36</v>
      </c>
      <c r="B30" t="s">
        <v>62</v>
      </c>
    </row>
    <row r="32" spans="1:5" x14ac:dyDescent="0.2">
      <c r="A32" s="13" t="s">
        <v>86</v>
      </c>
    </row>
    <row r="33" spans="1:5" x14ac:dyDescent="0.2">
      <c r="A33" s="9" t="s">
        <v>47</v>
      </c>
      <c r="B33">
        <v>10000</v>
      </c>
    </row>
    <row r="34" spans="1:5" x14ac:dyDescent="0.2">
      <c r="A34" s="9" t="s">
        <v>89</v>
      </c>
      <c r="B34">
        <v>500</v>
      </c>
    </row>
    <row r="35" spans="1:5" x14ac:dyDescent="0.2">
      <c r="A35" s="9" t="s">
        <v>49</v>
      </c>
      <c r="B35">
        <v>20000</v>
      </c>
    </row>
    <row r="36" spans="1:5" x14ac:dyDescent="0.2">
      <c r="A36" t="s">
        <v>77</v>
      </c>
      <c r="B36">
        <v>10</v>
      </c>
    </row>
    <row r="38" spans="1:5" x14ac:dyDescent="0.2">
      <c r="A38" s="13" t="s">
        <v>87</v>
      </c>
    </row>
    <row r="39" spans="1:5" x14ac:dyDescent="0.2">
      <c r="A39" s="9" t="s">
        <v>112</v>
      </c>
      <c r="B39" s="10">
        <v>7.0000000000000007E-2</v>
      </c>
    </row>
    <row r="41" spans="1:5" x14ac:dyDescent="0.2">
      <c r="A41" s="13" t="s">
        <v>88</v>
      </c>
    </row>
    <row r="42" spans="1:5" x14ac:dyDescent="0.2">
      <c r="A42" t="s">
        <v>3</v>
      </c>
      <c r="B42">
        <v>200000</v>
      </c>
    </row>
    <row r="43" spans="1:5" x14ac:dyDescent="0.2">
      <c r="A43" t="s">
        <v>90</v>
      </c>
      <c r="B43">
        <v>5</v>
      </c>
    </row>
    <row r="44" spans="1:5" x14ac:dyDescent="0.2">
      <c r="A44" t="s">
        <v>113</v>
      </c>
      <c r="B44">
        <f>B43*12</f>
        <v>60</v>
      </c>
    </row>
    <row r="45" spans="1:5" x14ac:dyDescent="0.2">
      <c r="A45" t="s">
        <v>114</v>
      </c>
      <c r="B45">
        <v>24</v>
      </c>
    </row>
    <row r="46" spans="1:5" x14ac:dyDescent="0.2">
      <c r="A46" t="s">
        <v>4</v>
      </c>
      <c r="B46" s="22">
        <v>5753.59</v>
      </c>
    </row>
    <row r="47" spans="1:5" x14ac:dyDescent="0.2">
      <c r="A47" t="s">
        <v>117</v>
      </c>
      <c r="B47" s="23">
        <f>B46*B44</f>
        <v>345215.4</v>
      </c>
      <c r="E47" s="21"/>
    </row>
    <row r="48" spans="1:5" x14ac:dyDescent="0.2">
      <c r="A48" s="17" t="s">
        <v>5</v>
      </c>
      <c r="B48">
        <v>15</v>
      </c>
    </row>
    <row r="49" spans="1:2" x14ac:dyDescent="0.2">
      <c r="A49" t="s">
        <v>17</v>
      </c>
      <c r="B49" s="7">
        <f>B42</f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6.5" bestFit="1" customWidth="1"/>
    <col min="2" max="2" width="9.664062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s="3" t="s">
        <v>38</v>
      </c>
    </row>
    <row r="3" spans="1:2" x14ac:dyDescent="0.2">
      <c r="A3" t="s">
        <v>39</v>
      </c>
      <c r="B3">
        <f>(Inputs!B25*Inputs!B24)</f>
        <v>20000</v>
      </c>
    </row>
    <row r="4" spans="1:2" x14ac:dyDescent="0.2">
      <c r="A4" t="s">
        <v>8</v>
      </c>
      <c r="B4" s="1">
        <f>B3 * Inputs!B17 / 100</f>
        <v>4000</v>
      </c>
    </row>
    <row r="6" spans="1:2" x14ac:dyDescent="0.2">
      <c r="A6" s="2" t="s">
        <v>37</v>
      </c>
    </row>
    <row r="7" spans="1:2" x14ac:dyDescent="0.2">
      <c r="A7" t="s">
        <v>76</v>
      </c>
      <c r="B7">
        <f>Inputs!B2</f>
        <v>300000</v>
      </c>
    </row>
    <row r="8" spans="1:2" x14ac:dyDescent="0.2">
      <c r="A8" t="s">
        <v>91</v>
      </c>
      <c r="B8">
        <f>B7*(Inputs!B9+Inputs!B10+Inputs!B11)%</f>
        <v>30000</v>
      </c>
    </row>
    <row r="9" spans="1:2" x14ac:dyDescent="0.2">
      <c r="A9" t="s">
        <v>19</v>
      </c>
      <c r="B9" s="12">
        <f>B8*Inputs!B6/12</f>
        <v>20277.777777777777</v>
      </c>
    </row>
    <row r="10" spans="1:2" x14ac:dyDescent="0.2">
      <c r="A10" t="s">
        <v>20</v>
      </c>
      <c r="B10">
        <f>B9*12</f>
        <v>243333.33333333331</v>
      </c>
    </row>
    <row r="12" spans="1:2" x14ac:dyDescent="0.2">
      <c r="A12" s="3" t="s">
        <v>40</v>
      </c>
    </row>
    <row r="13" spans="1:2" x14ac:dyDescent="0.2">
      <c r="A13" t="s">
        <v>41</v>
      </c>
      <c r="B13">
        <f>Inputs!B16</f>
        <v>100000</v>
      </c>
    </row>
    <row r="14" spans="1:2" x14ac:dyDescent="0.2">
      <c r="A14" t="s">
        <v>42</v>
      </c>
      <c r="B14">
        <f>Inputs!B18</f>
        <v>20</v>
      </c>
    </row>
    <row r="15" spans="1:2" x14ac:dyDescent="0.2">
      <c r="A15" t="s">
        <v>43</v>
      </c>
      <c r="B15">
        <f>Inputs!B19</f>
        <v>3</v>
      </c>
    </row>
    <row r="16" spans="1:2" x14ac:dyDescent="0.2">
      <c r="A16" t="s">
        <v>44</v>
      </c>
      <c r="B16">
        <f>(B13*B14%)*B15</f>
        <v>60000</v>
      </c>
    </row>
    <row r="17" spans="1:2" x14ac:dyDescent="0.2">
      <c r="A17" t="s">
        <v>45</v>
      </c>
      <c r="B17">
        <f>B16*Inputs!B17%</f>
        <v>12000</v>
      </c>
    </row>
    <row r="18" spans="1:2" x14ac:dyDescent="0.2">
      <c r="A18" t="s">
        <v>72</v>
      </c>
      <c r="B18" s="1">
        <f>B17/12</f>
        <v>1000</v>
      </c>
    </row>
    <row r="20" spans="1:2" x14ac:dyDescent="0.2">
      <c r="A20" s="3" t="s">
        <v>46</v>
      </c>
    </row>
    <row r="21" spans="1:2" x14ac:dyDescent="0.2">
      <c r="A21" t="s">
        <v>47</v>
      </c>
      <c r="B21">
        <f>Inputs!B33</f>
        <v>10000</v>
      </c>
    </row>
    <row r="22" spans="1:2" x14ac:dyDescent="0.2">
      <c r="A22" t="s">
        <v>48</v>
      </c>
      <c r="B22">
        <f>Inputs!B34</f>
        <v>500</v>
      </c>
    </row>
    <row r="23" spans="1:2" x14ac:dyDescent="0.2">
      <c r="A23" t="s">
        <v>49</v>
      </c>
      <c r="B23">
        <f>Inputs!B35</f>
        <v>20000</v>
      </c>
    </row>
    <row r="24" spans="1:2" x14ac:dyDescent="0.2">
      <c r="A24" t="s">
        <v>96</v>
      </c>
      <c r="B24">
        <f>Inputs!B36</f>
        <v>10</v>
      </c>
    </row>
    <row r="25" spans="1:2" x14ac:dyDescent="0.2">
      <c r="A25" t="s">
        <v>50</v>
      </c>
      <c r="B25" s="1">
        <f>(B21+B22+B23)*B24%</f>
        <v>3050</v>
      </c>
    </row>
    <row r="27" spans="1:2" x14ac:dyDescent="0.2">
      <c r="A27" s="3" t="s">
        <v>51</v>
      </c>
    </row>
    <row r="28" spans="1:2" x14ac:dyDescent="0.2">
      <c r="A28" t="s">
        <v>52</v>
      </c>
      <c r="B28" s="16">
        <v>7.0000000000000007E-2</v>
      </c>
    </row>
    <row r="29" spans="1:2" x14ac:dyDescent="0.2">
      <c r="A29" t="s">
        <v>53</v>
      </c>
      <c r="B29">
        <f>Inputs!B16</f>
        <v>100000</v>
      </c>
    </row>
    <row r="30" spans="1:2" x14ac:dyDescent="0.2">
      <c r="A30" t="s">
        <v>54</v>
      </c>
      <c r="B30">
        <f>Inputs!B17</f>
        <v>20</v>
      </c>
    </row>
    <row r="31" spans="1:2" x14ac:dyDescent="0.2">
      <c r="A31" t="s">
        <v>55</v>
      </c>
      <c r="B31">
        <f>B29*B30%</f>
        <v>20000</v>
      </c>
    </row>
    <row r="32" spans="1:2" x14ac:dyDescent="0.2">
      <c r="A32" t="s">
        <v>56</v>
      </c>
      <c r="B32">
        <f>B31*(100%-B28)</f>
        <v>18600</v>
      </c>
    </row>
    <row r="33" spans="1:2" x14ac:dyDescent="0.2">
      <c r="A33" t="s">
        <v>57</v>
      </c>
      <c r="B33" s="1">
        <f>B31-B32</f>
        <v>1400</v>
      </c>
    </row>
    <row r="35" spans="1:2" x14ac:dyDescent="0.2">
      <c r="A35" s="3" t="s">
        <v>58</v>
      </c>
    </row>
    <row r="36" spans="1:2" x14ac:dyDescent="0.2">
      <c r="A36" t="s">
        <v>41</v>
      </c>
      <c r="B36">
        <f>Inputs!B16</f>
        <v>100000</v>
      </c>
    </row>
    <row r="37" spans="1:2" x14ac:dyDescent="0.2">
      <c r="A37" t="s">
        <v>59</v>
      </c>
      <c r="B37" s="15">
        <v>7</v>
      </c>
    </row>
    <row r="38" spans="1:2" x14ac:dyDescent="0.2">
      <c r="A38" t="s">
        <v>60</v>
      </c>
      <c r="B38">
        <f>B36/30*7</f>
        <v>23333.333333333336</v>
      </c>
    </row>
    <row r="39" spans="1:2" x14ac:dyDescent="0.2">
      <c r="A39" t="s">
        <v>61</v>
      </c>
      <c r="B39">
        <f>Inputs!B29</f>
        <v>50000</v>
      </c>
    </row>
    <row r="40" spans="1:2" x14ac:dyDescent="0.2">
      <c r="A40" t="s">
        <v>63</v>
      </c>
      <c r="B40">
        <f>B39-B38</f>
        <v>26666.666666666664</v>
      </c>
    </row>
    <row r="41" spans="1:2" x14ac:dyDescent="0.2">
      <c r="A41" t="s">
        <v>64</v>
      </c>
      <c r="B41" s="8">
        <f>B40*(Inputs!B17%)</f>
        <v>5333.333333333333</v>
      </c>
    </row>
    <row r="42" spans="1:2" x14ac:dyDescent="0.2">
      <c r="A42" t="s">
        <v>65</v>
      </c>
      <c r="B42" s="8">
        <f>B40*1%</f>
        <v>266.66666666666663</v>
      </c>
    </row>
    <row r="43" spans="1:2" x14ac:dyDescent="0.2">
      <c r="A43" t="s">
        <v>66</v>
      </c>
      <c r="B43">
        <f>B41+B42</f>
        <v>5600</v>
      </c>
    </row>
    <row r="45" spans="1:2" x14ac:dyDescent="0.2">
      <c r="A45" s="3" t="s">
        <v>67</v>
      </c>
    </row>
    <row r="46" spans="1:2" x14ac:dyDescent="0.2">
      <c r="A46" t="s">
        <v>31</v>
      </c>
      <c r="B46">
        <f>Inputs!B2</f>
        <v>300000</v>
      </c>
    </row>
    <row r="47" spans="1:2" x14ac:dyDescent="0.2">
      <c r="A47" t="s">
        <v>68</v>
      </c>
      <c r="B47">
        <f>Inputs!B12</f>
        <v>5</v>
      </c>
    </row>
    <row r="48" spans="1:2" x14ac:dyDescent="0.2">
      <c r="A48" t="s">
        <v>69</v>
      </c>
      <c r="B48">
        <f>B46*B47%</f>
        <v>15000</v>
      </c>
    </row>
    <row r="49" spans="1:2" x14ac:dyDescent="0.2">
      <c r="A49" t="s">
        <v>70</v>
      </c>
      <c r="B49" s="1">
        <f>B48/12</f>
        <v>1250</v>
      </c>
    </row>
    <row r="53" spans="1:2" x14ac:dyDescent="0.2">
      <c r="A53" t="s">
        <v>9</v>
      </c>
      <c r="B53" s="12">
        <f>B4+B9+B18+B25+B33+B43+B49</f>
        <v>36577.777777777781</v>
      </c>
    </row>
    <row r="54" spans="1:2" x14ac:dyDescent="0.2">
      <c r="A54" t="s">
        <v>73</v>
      </c>
      <c r="B54" s="1">
        <f>B53*3</f>
        <v>109733.33333333334</v>
      </c>
    </row>
    <row r="55" spans="1:2" x14ac:dyDescent="0.2">
      <c r="A55" t="s">
        <v>74</v>
      </c>
      <c r="B55" s="1">
        <f>B53*6</f>
        <v>219466.66666666669</v>
      </c>
    </row>
    <row r="56" spans="1:2" x14ac:dyDescent="0.2">
      <c r="A56" t="s">
        <v>75</v>
      </c>
      <c r="B56" s="1">
        <f>B53*12</f>
        <v>438933.33333333337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topLeftCell="A40" zoomScale="159" workbookViewId="0">
      <selection activeCell="B47" sqref="B47"/>
    </sheetView>
  </sheetViews>
  <sheetFormatPr baseColWidth="10" defaultColWidth="8.83203125" defaultRowHeight="15" x14ac:dyDescent="0.2"/>
  <cols>
    <col min="1" max="1" width="43" bestFit="1" customWidth="1"/>
    <col min="2" max="2" width="10.664062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99</v>
      </c>
      <c r="B2">
        <f>12-Inputs!B19</f>
        <v>9</v>
      </c>
    </row>
    <row r="3" spans="1:2" x14ac:dyDescent="0.2">
      <c r="A3" t="s">
        <v>98</v>
      </c>
      <c r="B3">
        <f>Inputs!B19</f>
        <v>3</v>
      </c>
    </row>
    <row r="4" spans="1:2" x14ac:dyDescent="0.2">
      <c r="A4" t="s">
        <v>95</v>
      </c>
      <c r="B4">
        <f>Inputs!B49*Inputs!B6/12</f>
        <v>135185.1851851852</v>
      </c>
    </row>
    <row r="5" spans="1:2" x14ac:dyDescent="0.2">
      <c r="A5" t="s">
        <v>97</v>
      </c>
      <c r="B5">
        <f>B4 * Inputs!B18%</f>
        <v>27037.03703703704</v>
      </c>
    </row>
    <row r="6" spans="1:2" x14ac:dyDescent="0.2">
      <c r="A6" t="s">
        <v>104</v>
      </c>
      <c r="B6">
        <f>B4+B5</f>
        <v>162222.22222222225</v>
      </c>
    </row>
    <row r="7" spans="1:2" x14ac:dyDescent="0.2">
      <c r="A7" t="s">
        <v>100</v>
      </c>
      <c r="B7">
        <f>B6*B3</f>
        <v>486666.66666666674</v>
      </c>
    </row>
    <row r="8" spans="1:2" x14ac:dyDescent="0.2">
      <c r="A8" t="s">
        <v>101</v>
      </c>
      <c r="B8">
        <f>B4*B2</f>
        <v>1216666.6666666667</v>
      </c>
    </row>
    <row r="9" spans="1:2" x14ac:dyDescent="0.2">
      <c r="A9" t="s">
        <v>102</v>
      </c>
      <c r="B9">
        <f>B7+B8</f>
        <v>1703333.3333333335</v>
      </c>
    </row>
    <row r="10" spans="1:2" x14ac:dyDescent="0.2">
      <c r="A10" t="s">
        <v>103</v>
      </c>
      <c r="B10" s="1">
        <f>B9/12</f>
        <v>141944.44444444447</v>
      </c>
    </row>
    <row r="12" spans="1:2" x14ac:dyDescent="0.2">
      <c r="A12" s="2" t="s">
        <v>106</v>
      </c>
      <c r="B12" s="1">
        <f>B4 * Inputs!B17%</f>
        <v>27037.03703703704</v>
      </c>
    </row>
    <row r="13" spans="1:2" x14ac:dyDescent="0.2">
      <c r="A13" s="2" t="s">
        <v>105</v>
      </c>
      <c r="B13" s="1">
        <f>B6*Inputs!B17/100</f>
        <v>32444.444444444449</v>
      </c>
    </row>
    <row r="14" spans="1:2" x14ac:dyDescent="0.2">
      <c r="A14" t="s">
        <v>14</v>
      </c>
      <c r="B14">
        <f>B12*(12-Inputs!B19)</f>
        <v>243333.33333333337</v>
      </c>
    </row>
    <row r="15" spans="1:2" x14ac:dyDescent="0.2">
      <c r="A15" t="s">
        <v>15</v>
      </c>
      <c r="B15">
        <f>B13*Inputs!B19</f>
        <v>97333.333333333343</v>
      </c>
    </row>
    <row r="16" spans="1:2" x14ac:dyDescent="0.2">
      <c r="A16" s="2" t="s">
        <v>16</v>
      </c>
      <c r="B16" s="1">
        <f>B14+B15</f>
        <v>340666.66666666674</v>
      </c>
    </row>
    <row r="17" spans="1:3" x14ac:dyDescent="0.2">
      <c r="A17" s="2" t="s">
        <v>115</v>
      </c>
      <c r="B17" s="1">
        <f>B16/12</f>
        <v>28388.888888888894</v>
      </c>
    </row>
    <row r="20" spans="1:3" x14ac:dyDescent="0.2">
      <c r="A20" s="2" t="s">
        <v>107</v>
      </c>
    </row>
    <row r="21" spans="1:3" x14ac:dyDescent="0.2">
      <c r="A21" t="s">
        <v>18</v>
      </c>
      <c r="B21">
        <f>Inputs!B49</f>
        <v>200000</v>
      </c>
    </row>
    <row r="22" spans="1:3" x14ac:dyDescent="0.2">
      <c r="A22" t="s">
        <v>107</v>
      </c>
      <c r="B22">
        <f>B21*(Inputs!B9+Inputs!B10+Inputs!B11)%</f>
        <v>20000</v>
      </c>
    </row>
    <row r="23" spans="1:3" x14ac:dyDescent="0.2">
      <c r="A23" t="s">
        <v>108</v>
      </c>
      <c r="B23" s="4">
        <f>B22*Inputs!B6/12</f>
        <v>13518.518518518518</v>
      </c>
    </row>
    <row r="24" spans="1:3" x14ac:dyDescent="0.2">
      <c r="A24" t="s">
        <v>109</v>
      </c>
      <c r="B24" s="1">
        <f>B23*12</f>
        <v>162222.22222222222</v>
      </c>
    </row>
    <row r="26" spans="1:3" x14ac:dyDescent="0.2">
      <c r="A26" s="18" t="s">
        <v>38</v>
      </c>
      <c r="B26" s="19"/>
    </row>
    <row r="27" spans="1:3" x14ac:dyDescent="0.2">
      <c r="A27" s="19" t="s">
        <v>39</v>
      </c>
      <c r="B27" s="19">
        <f>(Inputs!B25*Inputs!B24)</f>
        <v>20000</v>
      </c>
    </row>
    <row r="28" spans="1:3" x14ac:dyDescent="0.2">
      <c r="A28" s="19" t="s">
        <v>8</v>
      </c>
      <c r="B28" s="20">
        <f>B27 * Inputs!B17 / 100</f>
        <v>4000</v>
      </c>
    </row>
    <row r="30" spans="1:3" x14ac:dyDescent="0.2">
      <c r="A30" s="2" t="s">
        <v>21</v>
      </c>
      <c r="B30" t="s">
        <v>24</v>
      </c>
      <c r="C30" t="s">
        <v>25</v>
      </c>
    </row>
    <row r="31" spans="1:3" x14ac:dyDescent="0.2">
      <c r="A31" t="s">
        <v>22</v>
      </c>
      <c r="B31">
        <f>Inputs!B16</f>
        <v>100000</v>
      </c>
      <c r="C31">
        <f>B31*12</f>
        <v>1200000</v>
      </c>
    </row>
    <row r="32" spans="1:3" x14ac:dyDescent="0.2">
      <c r="A32" t="s">
        <v>23</v>
      </c>
      <c r="B32">
        <f>B4</f>
        <v>135185.1851851852</v>
      </c>
      <c r="C32">
        <f>B32*(12-Inputs!B19)</f>
        <v>1216666.6666666667</v>
      </c>
    </row>
    <row r="33" spans="1:3" x14ac:dyDescent="0.2">
      <c r="A33" t="s">
        <v>13</v>
      </c>
      <c r="B33">
        <f>B6</f>
        <v>162222.22222222225</v>
      </c>
      <c r="C33">
        <f>B33*Inputs!B19</f>
        <v>486666.66666666674</v>
      </c>
    </row>
    <row r="34" spans="1:3" x14ac:dyDescent="0.2">
      <c r="A34" t="s">
        <v>26</v>
      </c>
      <c r="B34">
        <f>B31*Inputs!B17/100</f>
        <v>20000</v>
      </c>
      <c r="C34">
        <f>C31*Inputs!B17/100</f>
        <v>240000</v>
      </c>
    </row>
    <row r="35" spans="1:3" x14ac:dyDescent="0.2">
      <c r="A35" t="s">
        <v>111</v>
      </c>
      <c r="B35">
        <f>B12</f>
        <v>27037.03703703704</v>
      </c>
      <c r="C35">
        <f>B14</f>
        <v>243333.33333333337</v>
      </c>
    </row>
    <row r="36" spans="1:3" x14ac:dyDescent="0.2">
      <c r="A36" t="s">
        <v>110</v>
      </c>
      <c r="B36">
        <f>B13</f>
        <v>32444.444444444449</v>
      </c>
      <c r="C36">
        <f>B15</f>
        <v>97333.333333333343</v>
      </c>
    </row>
    <row r="38" spans="1:3" x14ac:dyDescent="0.2">
      <c r="A38" t="s">
        <v>29</v>
      </c>
      <c r="C38">
        <f>C34+C35+C36</f>
        <v>580666.66666666674</v>
      </c>
    </row>
    <row r="39" spans="1:3" ht="32" x14ac:dyDescent="0.2">
      <c r="A39" s="5" t="s">
        <v>30</v>
      </c>
      <c r="C39">
        <f>C38/12</f>
        <v>48388.888888888898</v>
      </c>
    </row>
    <row r="41" spans="1:3" x14ac:dyDescent="0.2">
      <c r="A41" s="3" t="s">
        <v>27</v>
      </c>
      <c r="C41" s="1">
        <f>C39*5%</f>
        <v>2419.4444444444448</v>
      </c>
    </row>
    <row r="42" spans="1:3" x14ac:dyDescent="0.2">
      <c r="A42" s="3" t="s">
        <v>28</v>
      </c>
      <c r="C42" s="1">
        <f>C39*10%</f>
        <v>4838.8888888888896</v>
      </c>
    </row>
    <row r="45" spans="1:3" x14ac:dyDescent="0.2">
      <c r="A45" t="s">
        <v>116</v>
      </c>
      <c r="B45" s="6">
        <f>B17+B23+B28+C42</f>
        <v>50746.296296296307</v>
      </c>
    </row>
    <row r="46" spans="1:3" x14ac:dyDescent="0.2">
      <c r="A46" t="s">
        <v>118</v>
      </c>
      <c r="B46">
        <f>B45*12</f>
        <v>608955.55555555574</v>
      </c>
    </row>
    <row r="47" spans="1:3" x14ac:dyDescent="0.2">
      <c r="A47" t="s">
        <v>10</v>
      </c>
      <c r="B47">
        <f>B46 / (Inputs!B47)*100</f>
        <v>176.39872252383751</v>
      </c>
    </row>
    <row r="48" spans="1:3" x14ac:dyDescent="0.2">
      <c r="A48" t="s">
        <v>11</v>
      </c>
      <c r="B48">
        <f>Inputs!B47 / B45</f>
        <v>6.8027703536109172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Cost_of_Delay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Ronak Agarwal</cp:lastModifiedBy>
  <dcterms:created xsi:type="dcterms:W3CDTF">2025-12-07T17:00:42Z</dcterms:created>
  <dcterms:modified xsi:type="dcterms:W3CDTF">2026-03-27T11:54:57Z</dcterms:modified>
</cp:coreProperties>
</file>